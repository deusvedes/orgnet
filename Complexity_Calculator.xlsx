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a84a9deb1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a9aef36e546944d1"/>
    <x:sheet xmlns:r="http://schemas.openxmlformats.org/officeDocument/2006/relationships" name="Policy" sheetId="2" r:id="Rd74e78b0ae40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#,##0"/>
    <x:numFmt numFmtId="203" formatCode="0.0%"/>
  </x:numFmts>
  <x:fonts count="7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b/>
      <x:sz val="11"/>
      <x:color rgb="FF243B53"/>
      <x:name val="Arial"/>
    </x:font>
    <x:font>
      <x:sz val="10"/>
      <x:color rgb="FF243B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F2F6"/>
      </x:patternFill>
    </x:fill>
    <x:fill>
      <x:patternFill patternType="solid">
        <x:fgColor rgb="FF243B53"/>
      </x:patternFill>
    </x:fill>
    <x:fill>
      <x:patternFill patternType="solid">
        <x:fgColor rgb="FFFFF1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right" vertical="center"/>
    </x:xf>
    <x:xf numFmtId="202" fontId="4" fillId="4" borderId="0" xfId="0" applyNumberFormat="1" applyFont="1" applyFill="1" applyBorder="1" applyAlignment="1">
      <x:alignment horizontal="right" vertical="center"/>
    </x:xf>
    <x:xf numFmtId="200" fontId="4" fillId="4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b91bc1b034ca3" /><Relationship Type="http://schemas.openxmlformats.org/officeDocument/2006/relationships/theme" Target="/xl/theme/theme1.xml" Id="Re32765fa901c48d4" /><Relationship Type="http://schemas.openxmlformats.org/officeDocument/2006/relationships/sharedStrings" Target="/xl/sharedStrings.xml" Id="R71a1a9e23b9241b0" /><Relationship Type="http://schemas.openxmlformats.org/officeDocument/2006/relationships/worksheet" Target="/xl/worksheets/sheet1.xml" Id="Ra9aef36e546944d1" /><Relationship Type="http://schemas.openxmlformats.org/officeDocument/2006/relationships/worksheet" Target="/xl/worksheets/sheet2.xml" Id="Rd74e78b0ae40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15" hidden="0" customWidth="1"/>
    <x:col min="4" max="4" width="18" hidden="0" customWidth="1"/>
    <x:col min="5" max="5" width="16" hidden="0" customWidth="1"/>
    <x:col min="6" max="6" width="17" hidden="0" customWidth="1"/>
    <x:col min="7" max="7" width="18" hidden="0" customWidth="1"/>
    <x:col min="8" max="8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Application complexity calculator</x:v>
      </x:c>
      <x:c r="C2" s="2"/>
      <x:c r="D2" s="2"/>
      <x:c r="E2" s="2"/>
      <x:c r="F2" s="2"/>
      <x:c r="G2" s="2"/>
      <x:c r="H2" s="2"/>
    </x:row>
    <x:row r="3" ht="23" customHeight="1">
      <x:c r="A3" s="2"/>
      <x:c r="B3" s="2" t="str">
        <x:v>Demo inputs. Replace amber cells; results update automatically.</x:v>
      </x:c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2" t="str">
        <x:v>Structural score (1–10)</x:v>
      </x:c>
      <x:c r="C5" s="2"/>
      <x:c r="D5" s="2"/>
      <x:c r="E5" s="2" t="str">
        <x:v>Risk score (1–10)</x:v>
      </x:c>
      <x:c r="F5" s="2"/>
      <x:c r="G5" s="2" t="str">
        <x:v>Risk band</x:v>
      </x:c>
      <x:c r="H5" s="2"/>
    </x:row>
    <x:row r="6" ht="23" customHeight="1">
      <x:c r="A6" s="2"/>
      <x:c r="B6" s="2"/>
      <x:c r="C6" s="7" t="n">
        <x:f>IF(SUM(F33:F40)=0,"",1+9*SUM(E33:E40)/SUM(F33:F40))</x:f>
        <x:v>5.130624999999999</x:v>
      </x:c>
      <x:c r="D6" s="2"/>
      <x:c r="E6" s="2"/>
      <x:c r="F6" s="7" t="n">
        <x:f>IF(SUM(F45:F51)=0,"",1+9*SUM(E45:E51)/SUM(F45:F51))</x:f>
        <x:v>3.543625</x:v>
      </x:c>
      <x:c r="G6" s="2"/>
      <x:c r="H6" s="9" t="str">
        <x:f>IF(F6="","UNKNOWN",IF(F6&lt;4,"LOW",IF(F6&lt;7,"MEDIUM","HIGH")))</x:f>
        <x:v>LOW</x:v>
      </x:c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/>
      <x:c r="B8" s="2" t="str">
        <x:v>Structural data available</x:v>
      </x:c>
      <x:c r="C8" s="5" t="n">
        <x:f>IF(SUM(Policy!C6:C13)=0,"",SUM(F33:F40)/SUM(Policy!C6:C13))</x:f>
        <x:v>1</x:v>
      </x:c>
      <x:c r="D8" s="2"/>
      <x:c r="E8" s="2" t="str">
        <x:v>Risk data available</x:v>
      </x:c>
      <x:c r="F8" s="5" t="n">
        <x:f>IF(SUM(Policy!C17:C23)=0,"",SUM(F45:F51)/SUM(Policy!C17:C23))</x:f>
        <x:v>1</x:v>
      </x:c>
      <x:c r="G8" s="2"/>
      <x:c r="H8" s="2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23" customHeight="1">
      <x:c r="A11" s="2"/>
      <x:c r="B11" s="13" t="str">
        <x:v>Measurement</x:v>
      </x:c>
      <x:c r="C11" s="13" t="str">
        <x:v>Input</x:v>
      </x:c>
      <x:c r="D11" s="13" t="str">
        <x:v>Unit</x:v>
      </x:c>
      <x:c r="E11" s="2"/>
      <x:c r="F11" s="19" t="str">
        <x:v>How to use</x:v>
      </x:c>
      <x:c r="G11" s="2"/>
      <x:c r="H11" s="2"/>
    </x:row>
    <x:row r="12" ht="23" customHeight="1">
      <x:c r="A12" s="2"/>
      <x:c r="B12" s="2" t="str">
        <x:v>Production LOC</x:v>
      </x:c>
      <x:c r="C12" s="17" t="n">
        <x:v>12000</x:v>
      </x:c>
      <x:c r="D12" s="2" t="str">
        <x:v>lines</x:v>
      </x:c>
      <x:c r="E12" s="2"/>
      <x:c r="F12" s="20" t="str">
        <x:v>1. Replace the sample measurements.</x:v>
      </x:c>
      <x:c r="G12" s="20"/>
      <x:c r="H12" s="20"/>
    </x:row>
    <x:row r="13" ht="23" customHeight="1">
      <x:c r="A13" s="2"/>
      <x:c r="B13" s="2" t="str">
        <x:v>Declared dependencies</x:v>
      </x:c>
      <x:c r="C13" s="17" t="n">
        <x:v>45</x:v>
      </x:c>
      <x:c r="D13" s="2" t="str">
        <x:v>distinct declarations</x:v>
      </x:c>
      <x:c r="E13" s="2"/>
      <x:c r="F13" s="20" t="str">
        <x:v>2. Leave unknown values blank.</x:v>
      </x:c>
      <x:c r="G13" s="20"/>
      <x:c r="H13" s="20"/>
    </x:row>
    <x:row r="14" ht="23" customHeight="1">
      <x:c r="A14" s="2"/>
      <x:c r="B14" s="2" t="str">
        <x:v>Client candidates</x:v>
      </x:c>
      <x:c r="C14" s="17" t="n">
        <x:v>6</x:v>
      </x:c>
      <x:c r="D14" s="2" t="str">
        <x:v>count</x:v>
      </x:c>
      <x:c r="E14" s="2"/>
      <x:c r="F14" s="20" t="str">
        <x:v>3. Enter 0 only when it is measured.</x:v>
      </x:c>
      <x:c r="G14" s="20"/>
      <x:c r="H14" s="20"/>
    </x:row>
    <x:row r="15" ht="23" customHeight="1">
      <x:c r="A15" s="2"/>
      <x:c r="B15" s="2" t="str">
        <x:v>Exposed endpoint methods</x:v>
      </x:c>
      <x:c r="C15" s="17" t="n">
        <x:v>18</x:v>
      </x:c>
      <x:c r="D15" s="2" t="str">
        <x:v>methods</x:v>
      </x:c>
      <x:c r="E15" s="2"/>
      <x:c r="F15" s="20" t="str">
        <x:v>4. Edit weights and thresholds on Policy.</x:v>
      </x:c>
      <x:c r="G15" s="20"/>
      <x:c r="H15" s="20"/>
    </x:row>
    <x:row r="16" ht="23" customHeight="1">
      <x:c r="A16" s="2"/>
      <x:c r="B16" s="2" t="str">
        <x:v>Production packages</x:v>
      </x:c>
      <x:c r="C16" s="17" t="n">
        <x:v>32</x:v>
      </x:c>
      <x:c r="D16" s="2" t="str">
        <x:v>count</x:v>
      </x:c>
      <x:c r="E16" s="2"/>
      <x:c r="F16" s="20" t="str">
        <x:v>5. Use the same Git history window.</x:v>
      </x:c>
      <x:c r="G16" s="20"/>
      <x:c r="H16" s="20"/>
    </x:row>
    <x:row r="17" ht="23" customHeight="1">
      <x:c r="A17" s="2"/>
      <x:c r="B17" s="2" t="str">
        <x:v>Mean cyclomatic proxy</x:v>
      </x:c>
      <x:c r="C17" s="18" t="n">
        <x:v>3.5</x:v>
      </x:c>
      <x:c r="D17" s="2" t="str">
        <x:v>per method</x:v>
      </x:c>
      <x:c r="E17" s="2"/>
      <x:c r="F17" s="20" t="str">
        <x:v>Coverage and author share use 0–100.</x:v>
      </x:c>
      <x:c r="G17" s="20"/>
      <x:c r="H17" s="20"/>
    </x:row>
    <x:row r="18" ht="23" customHeight="1">
      <x:c r="A18" s="2"/>
      <x:c r="B18" s="2" t="str">
        <x:v>Internal package edges</x:v>
      </x:c>
      <x:c r="C18" s="17" t="n">
        <x:v>48</x:v>
      </x:c>
      <x:c r="D18" s="2" t="str">
        <x:v>edges</x:v>
      </x:c>
      <x:c r="E18" s="2"/>
      <x:c r="F18" s="20" t="str">
        <x:v>Versions use the lowest major number.</x:v>
      </x:c>
      <x:c r="G18" s="20"/>
      <x:c r="H18" s="20"/>
    </x:row>
    <x:row r="19" ht="23" customHeight="1">
      <x:c r="A19" s="2"/>
      <x:c r="B19" s="2" t="str">
        <x:v>Packages in cycles</x:v>
      </x:c>
      <x:c r="C19" s="17" t="n">
        <x:v>2</x:v>
      </x:c>
      <x:c r="D19" s="2" t="str">
        <x:v>count</x:v>
      </x:c>
      <x:c r="E19" s="2"/>
      <x:c r="F19" s="20" t="str">
        <x:v>Scores use available weighted inputs.</x:v>
      </x:c>
      <x:c r="G19" s="20"/>
      <x:c r="H19" s="20"/>
    </x:row>
    <x:row r="20" ht="23" customHeight="1">
      <x:c r="A20" s="2"/>
      <x:c r="B20" s="2" t="str">
        <x:v>Line coverage</x:v>
      </x:c>
      <x:c r="C20" s="17" t="n">
        <x:v>72</x:v>
      </x:c>
      <x:c r="D20" s="2" t="str">
        <x:v>percent (0–100)</x:v>
      </x:c>
      <x:c r="E20" s="2"/>
      <x:c r="F20" s="20" t="str">
        <x:v>Availability is not statistical confidence.</x:v>
      </x:c>
      <x:c r="G20" s="20"/>
      <x:c r="H20" s="20"/>
    </x:row>
    <x:row r="21" ht="23" customHeight="1">
      <x:c r="A21" s="2"/>
      <x:c r="B21" s="2" t="str">
        <x:v>SpringBootTest classes</x:v>
      </x:c>
      <x:c r="C21" s="17" t="n">
        <x:v>8</x:v>
      </x:c>
      <x:c r="D21" s="2" t="str">
        <x:v>classes</x:v>
      </x:c>
      <x:c r="E21" s="2"/>
      <x:c r="F21" s="20" t="str">
        <x:v>Client and endpoint counts are estimates.</x:v>
      </x:c>
      <x:c r="G21" s="20"/>
      <x:c r="H21" s="20"/>
    </x:row>
    <x:row r="22" ht="23" customHeight="1">
      <x:c r="A22" s="2"/>
      <x:c r="B22" s="2" t="str">
        <x:v>Lowest JVM target</x:v>
      </x:c>
      <x:c r="C22" s="17" t="n">
        <x:v>17</x:v>
      </x:c>
      <x:c r="D22" s="2" t="str">
        <x:v>major version</x:v>
      </x:c>
      <x:c r="E22" s="2"/>
      <x:c r="F22" s="20" t="str">
        <x:v>Boot test counts do not prove test quality.</x:v>
      </x:c>
      <x:c r="G22" s="20"/>
      <x:c r="H22" s="20"/>
    </x:row>
    <x:row r="23" ht="23" customHeight="1">
      <x:c r="A23" s="2"/>
      <x:c r="B23" s="2" t="str">
        <x:v>Lowest Spring Boot version</x:v>
      </x:c>
      <x:c r="C23" s="17" t="n">
        <x:v>3</x:v>
      </x:c>
      <x:c r="D23" s="2" t="str">
        <x:v>major version</x:v>
      </x:c>
      <x:c r="E23" s="2"/>
      <x:c r="F23" s="20" t="str">
        <x:v>JVM/Boot thresholds are internal policy.</x:v>
      </x:c>
      <x:c r="G23" s="20"/>
      <x:c r="H23" s="20"/>
    </x:row>
    <x:row r="24" ht="23" customHeight="1">
      <x:c r="A24" s="2"/>
      <x:c r="B24" s="2" t="str">
        <x:v>Changed production Java lines</x:v>
      </x:c>
      <x:c r="C24" s="17" t="n">
        <x:v>3600</x:v>
      </x:c>
      <x:c r="D24" s="2" t="str">
        <x:v>added + removed</x:v>
      </x:c>
      <x:c r="E24" s="2"/>
      <x:c r="F24" s="20" t="str">
        <x:v>No automatic CVE or EOL assessment.</x:v>
      </x:c>
      <x:c r="G24" s="20"/>
      <x:c r="H24" s="20"/>
    </x:row>
    <x:row r="25" ht="23" customHeight="1">
      <x:c r="A25" s="2"/>
      <x:c r="B25" s="2" t="str">
        <x:v>Largest author commit share</x:v>
      </x:c>
      <x:c r="C25" s="17" t="n">
        <x:v>70</x:v>
      </x:c>
      <x:c r="D25" s="2" t="str">
        <x:v>percent (0–100)</x:v>
      </x:c>
      <x:c r="E25" s="2"/>
      <x:c r="F25" s="20"/>
      <x:c r="G25" s="20"/>
      <x:c r="H25" s="20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13" t="str">
        <x:v>Structural component</x:v>
      </x:c>
      <x:c r="C32" s="13" t="str">
        <x:v>Normalized</x:v>
      </x:c>
      <x:c r="D32" s="13" t="str">
        <x:v>Weight</x:v>
      </x:c>
      <x:c r="E32" s="13" t="str">
        <x:v>Contribution</x:v>
      </x:c>
      <x:c r="F32" s="13" t="str">
        <x:v>Available weight</x:v>
      </x:c>
      <x:c r="G32" s="2"/>
      <x:c r="H32" s="2"/>
    </x:row>
    <x:row r="33" ht="23" customHeight="1">
      <x:c r="A33" s="2"/>
      <x:c r="B33" s="2" t="str">
        <x:v>Code size</x:v>
      </x:c>
      <x:c r="C33" s="21" t="n">
        <x:f>IF(ISNUMBER(C12),MIN(1,MAX(0,(C12)/Policy!D6)),"")</x:f>
        <x:v>0.6</x:v>
      </x:c>
      <x:c r="D33" s="21" t="n">
        <x:f>Policy!C6</x:f>
        <x:v>0.2</x:v>
      </x:c>
      <x:c r="E33" s="21" t="n">
        <x:f>IF(ISNUMBER(C33),C33*D33,0)</x:f>
        <x:v>0.12</x:v>
      </x:c>
      <x:c r="F33" s="21" t="n">
        <x:f>IF(ISNUMBER(C33),D33,0)</x:f>
        <x:v>0.2</x:v>
      </x:c>
      <x:c r="G33" s="2"/>
      <x:c r="H33" s="2"/>
    </x:row>
    <x:row r="34" ht="23" customHeight="1">
      <x:c r="A34" s="2"/>
      <x:c r="B34" s="2" t="str">
        <x:v>Dependencies</x:v>
      </x:c>
      <x:c r="C34" s="21" t="n">
        <x:f>IF(ISNUMBER(C13),MIN(1,MAX(0,(C13)/Policy!D7)),"")</x:f>
        <x:v>0.5625</x:v>
      </x:c>
      <x:c r="D34" s="21" t="n">
        <x:f>Policy!C7</x:f>
        <x:v>0.15</x:v>
      </x:c>
      <x:c r="E34" s="21" t="n">
        <x:f>IF(ISNUMBER(C34),C34*D34,0)</x:f>
        <x:v>0.08437499999999999</x:v>
      </x:c>
      <x:c r="F34" s="21" t="n">
        <x:f>IF(ISNUMBER(C34),D34,0)</x:f>
        <x:v>0.15</x:v>
      </x:c>
      <x:c r="G34" s="2"/>
      <x:c r="H34" s="2"/>
    </x:row>
    <x:row r="35" ht="23" customHeight="1">
      <x:c r="A35" s="2"/>
      <x:c r="B35" s="2" t="str">
        <x:v>Clients</x:v>
      </x:c>
      <x:c r="C35" s="21" t="n">
        <x:f>IF(ISNUMBER(C14),MIN(1,MAX(0,(C14)/Policy!D8)),"")</x:f>
        <x:v>0.4</x:v>
      </x:c>
      <x:c r="D35" s="21" t="n">
        <x:f>Policy!C8</x:f>
        <x:v>0.15</x:v>
      </x:c>
      <x:c r="E35" s="21" t="n">
        <x:f>IF(ISNUMBER(C35),C35*D35,0)</x:f>
        <x:v>0.06</x:v>
      </x:c>
      <x:c r="F35" s="21" t="n">
        <x:f>IF(ISNUMBER(C35),D35,0)</x:f>
        <x:v>0.15</x:v>
      </x:c>
      <x:c r="G35" s="2"/>
      <x:c r="H35" s="2"/>
    </x:row>
    <x:row r="36" ht="23" customHeight="1">
      <x:c r="A36" s="2"/>
      <x:c r="B36" s="2" t="str">
        <x:v>Endpoints</x:v>
      </x:c>
      <x:c r="C36" s="21" t="n">
        <x:f>IF(ISNUMBER(C15),MIN(1,MAX(0,(C15)/Policy!D9)),"")</x:f>
        <x:v>0.45</x:v>
      </x:c>
      <x:c r="D36" s="21" t="n">
        <x:f>Policy!C9</x:f>
        <x:v>0.1</x:v>
      </x:c>
      <x:c r="E36" s="21" t="n">
        <x:f>IF(ISNUMBER(C36),C36*D36,0)</x:f>
        <x:v>0.045000000000000005</x:v>
      </x:c>
      <x:c r="F36" s="21" t="n">
        <x:f>IF(ISNUMBER(C36),D36,0)</x:f>
        <x:v>0.1</x:v>
      </x:c>
      <x:c r="G36" s="2"/>
      <x:c r="H36" s="2"/>
    </x:row>
    <x:row r="37" ht="23" customHeight="1">
      <x:c r="A37" s="2"/>
      <x:c r="B37" s="2" t="str">
        <x:v>Packages</x:v>
      </x:c>
      <x:c r="C37" s="21" t="n">
        <x:f>IF(ISNUMBER(C16),MIN(1,MAX(0,(C16)/Policy!D10)),"")</x:f>
        <x:v>0.5333333333333333</x:v>
      </x:c>
      <x:c r="D37" s="21" t="n">
        <x:f>Policy!C10</x:f>
        <x:v>0.1</x:v>
      </x:c>
      <x:c r="E37" s="21" t="n">
        <x:f>IF(ISNUMBER(C37),C37*D37,0)</x:f>
        <x:v>0.05333333333333334</x:v>
      </x:c>
      <x:c r="F37" s="21" t="n">
        <x:f>IF(ISNUMBER(C37),D37,0)</x:f>
        <x:v>0.1</x:v>
      </x:c>
      <x:c r="G37" s="2"/>
      <x:c r="H37" s="2"/>
    </x:row>
    <x:row r="38" ht="23" customHeight="1">
      <x:c r="A38" s="2"/>
      <x:c r="B38" s="2" t="str">
        <x:v>Cyclomatic proxy</x:v>
      </x:c>
      <x:c r="C38" s="21" t="n">
        <x:f>IF(ISNUMBER(C17),MIN(1,MAX(0,(C17)/Policy!D11)),"")</x:f>
        <x:v>0.35</x:v>
      </x:c>
      <x:c r="D38" s="21" t="n">
        <x:f>Policy!C11</x:f>
        <x:v>0.15</x:v>
      </x:c>
      <x:c r="E38" s="21" t="n">
        <x:f>IF(ISNUMBER(C38),C38*D38,0)</x:f>
        <x:v>0.0525</x:v>
      </x:c>
      <x:c r="F38" s="21" t="n">
        <x:f>IF(ISNUMBER(C38),D38,0)</x:f>
        <x:v>0.15</x:v>
      </x:c>
      <x:c r="G38" s="2"/>
      <x:c r="H38" s="2"/>
    </x:row>
    <x:row r="39" ht="23" customHeight="1">
      <x:c r="A39" s="2"/>
      <x:c r="B39" s="2" t="str">
        <x:v>Cyclic package share</x:v>
      </x:c>
      <x:c r="C39" s="21" t="n">
        <x:f>IF(AND(ISNUMBER(C19),ISNUMBER(C16),C16&gt;0),MIN(1,MAX(0,(C19/C16)/Policy!D12)),"")</x:f>
        <x:v>0.25</x:v>
      </x:c>
      <x:c r="D39" s="21" t="n">
        <x:f>Policy!C12</x:f>
        <x:v>0.1</x:v>
      </x:c>
      <x:c r="E39" s="21" t="n">
        <x:f>IF(ISNUMBER(C39),C39*D39,0)</x:f>
        <x:v>0.025</x:v>
      </x:c>
      <x:c r="F39" s="21" t="n">
        <x:f>IF(ISNUMBER(C39),D39,0)</x:f>
        <x:v>0.1</x:v>
      </x:c>
      <x:c r="G39" s="2"/>
      <x:c r="H39" s="2"/>
    </x:row>
    <x:row r="40" ht="23" customHeight="1">
      <x:c r="A40" s="2"/>
      <x:c r="B40" s="2" t="str">
        <x:v>Edges per package</x:v>
      </x:c>
      <x:c r="C40" s="21" t="n">
        <x:f>IF(AND(ISNUMBER(C18),ISNUMBER(C16),C16&gt;0),MIN(1,MAX(0,(C18/C16)/Policy!D13)),"")</x:f>
        <x:v>0.375</x:v>
      </x:c>
      <x:c r="D40" s="21" t="n">
        <x:f>Policy!C13</x:f>
        <x:v>0.05</x:v>
      </x:c>
      <x:c r="E40" s="21" t="n">
        <x:f>IF(ISNUMBER(C40),C40*D40,0)</x:f>
        <x:v>0.018750000000000003</x:v>
      </x:c>
      <x:c r="F40" s="21" t="n">
        <x:f>IF(ISNUMBER(C40),D40,0)</x:f>
        <x:v>0.05</x:v>
      </x:c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2"/>
      <x:c r="B44" s="13" t="str">
        <x:v>Risk component</x:v>
      </x:c>
      <x:c r="C44" s="13" t="str">
        <x:v>Normalized</x:v>
      </x:c>
      <x:c r="D44" s="13" t="str">
        <x:v>Weight</x:v>
      </x:c>
      <x:c r="E44" s="13" t="str">
        <x:v>Contribution</x:v>
      </x:c>
      <x:c r="F44" s="13" t="str">
        <x:v>Available weight</x:v>
      </x:c>
      <x:c r="G44" s="2"/>
      <x:c r="H44" s="2"/>
    </x:row>
    <x:row r="45" ht="23" customHeight="1">
      <x:c r="A45" s="2"/>
      <x:c r="B45" s="2" t="str">
        <x:v>Structure</x:v>
      </x:c>
      <x:c r="C45" s="21" t="n">
        <x:f>IF(ISNUMBER(C6),(C6-1)/9,"")</x:f>
        <x:v>0.45895833333333325</x:v>
      </x:c>
      <x:c r="D45" s="21" t="n">
        <x:f>Policy!C17</x:f>
        <x:v>0.2</x:v>
      </x:c>
      <x:c r="E45" s="21" t="n">
        <x:f>IF(ISNUMBER(C45),C45*D45,0)</x:f>
        <x:v>0.09179166666666666</x:v>
      </x:c>
      <x:c r="F45" s="21" t="n">
        <x:f>IF(ISNUMBER(C45),D45,0)</x:f>
        <x:v>0.2</x:v>
      </x:c>
      <x:c r="G45" s="2"/>
      <x:c r="H45" s="2"/>
    </x:row>
    <x:row r="46" ht="23" customHeight="1">
      <x:c r="A46" s="2"/>
      <x:c r="B46" s="2" t="str">
        <x:v>Coverage shortfall</x:v>
      </x:c>
      <x:c r="C46" s="21" t="n">
        <x:f>IF(ISNUMBER(C20),MAX(0,MIN(1,1-C20/100/Policy!D18)),"")</x:f>
        <x:v>0.10000000000000009</x:v>
      </x:c>
      <x:c r="D46" s="21" t="n">
        <x:f>Policy!C18</x:f>
        <x:v>0.25</x:v>
      </x:c>
      <x:c r="E46" s="21" t="n">
        <x:f>IF(ISNUMBER(C46),C46*D46,0)</x:f>
        <x:v>0.025000000000000022</x:v>
      </x:c>
      <x:c r="F46" s="21" t="n">
        <x:f>IF(ISNUMBER(C46),D46,0)</x:f>
        <x:v>0.25</x:v>
      </x:c>
      <x:c r="G46" s="2"/>
      <x:c r="H46" s="2"/>
    </x:row>
    <x:row r="47" ht="23" customHeight="1">
      <x:c r="A47" s="2"/>
      <x:c r="B47" s="2" t="str">
        <x:v>Boot test density</x:v>
      </x:c>
      <x:c r="C47" s="21" t="n">
        <x:f>IF(AND(ISNUMBER(C21),ISNUMBER(C12),C12&gt;0),MAX(0,MIN(1,1-C21/MAX(1,C12/1000*Policy!D19))),"")</x:f>
        <x:v>0.33333333333333337</x:v>
      </x:c>
      <x:c r="D47" s="21" t="n">
        <x:f>Policy!C19</x:f>
        <x:v>0.1</x:v>
      </x:c>
      <x:c r="E47" s="21" t="n">
        <x:f>IF(ISNUMBER(C47),C47*D47,0)</x:f>
        <x:v>0.03333333333333334</x:v>
      </x:c>
      <x:c r="F47" s="21" t="n">
        <x:f>IF(ISNUMBER(C47),D47,0)</x:f>
        <x:v>0.1</x:v>
      </x:c>
      <x:c r="G47" s="2"/>
      <x:c r="H47" s="2"/>
    </x:row>
    <x:row r="48" ht="23" customHeight="1">
      <x:c r="A48" s="2"/>
      <x:c r="B48" s="2" t="str">
        <x:v>JVM policy</x:v>
      </x:c>
      <x:c r="C48" s="21" t="n">
        <x:f>IF(ISNUMBER(C22),IF(C22&lt;Policy!D20,1,0),"")</x:f>
        <x:v>0</x:v>
      </x:c>
      <x:c r="D48" s="21" t="n">
        <x:f>Policy!C20</x:f>
        <x:v>0.1</x:v>
      </x:c>
      <x:c r="E48" s="21" t="n">
        <x:f>IF(ISNUMBER(C48),C48*D48,0)</x:f>
        <x:v>0</x:v>
      </x:c>
      <x:c r="F48" s="21" t="n">
        <x:f>IF(ISNUMBER(C48),D48,0)</x:f>
        <x:v>0.1</x:v>
      </x:c>
      <x:c r="G48" s="2"/>
      <x:c r="H48" s="2"/>
    </x:row>
    <x:row r="49" ht="23" customHeight="1">
      <x:c r="A49" s="2"/>
      <x:c r="B49" s="2" t="str">
        <x:v>Spring Boot policy</x:v>
      </x:c>
      <x:c r="C49" s="21" t="n">
        <x:f>IF(ISNUMBER(C23),IF(C23&lt;Policy!D21,1,0),"")</x:f>
        <x:v>0</x:v>
      </x:c>
      <x:c r="D49" s="21" t="n">
        <x:f>Policy!C21</x:f>
        <x:v>0.1</x:v>
      </x:c>
      <x:c r="E49" s="21" t="n">
        <x:f>IF(ISNUMBER(C49),C49*D49,0)</x:f>
        <x:v>0</x:v>
      </x:c>
      <x:c r="F49" s="21" t="n">
        <x:f>IF(ISNUMBER(C49),D49,0)</x:f>
        <x:v>0.1</x:v>
      </x:c>
      <x:c r="G49" s="2"/>
      <x:c r="H49" s="2"/>
    </x:row>
    <x:row r="50" ht="23" customHeight="1">
      <x:c r="A50" s="2"/>
      <x:c r="B50" s="2" t="str">
        <x:v>Code churn</x:v>
      </x:c>
      <x:c r="C50" s="21" t="n">
        <x:f>IF(AND(ISNUMBER(C24),ISNUMBER(C12),C12&gt;0),MIN(1,MAX(0,C24/C12/Policy!D22)),"")</x:f>
        <x:v>0.3</x:v>
      </x:c>
      <x:c r="D50" s="21" t="n">
        <x:f>Policy!C22</x:f>
        <x:v>0.15</x:v>
      </x:c>
      <x:c r="E50" s="21" t="n">
        <x:f>IF(ISNUMBER(C50),C50*D50,0)</x:f>
        <x:v>0.045</x:v>
      </x:c>
      <x:c r="F50" s="21" t="n">
        <x:f>IF(ISNUMBER(C50),D50,0)</x:f>
        <x:v>0.15</x:v>
      </x:c>
      <x:c r="G50" s="2"/>
      <x:c r="H50" s="2"/>
    </x:row>
    <x:row r="51" ht="23" customHeight="1">
      <x:c r="A51" s="2"/>
      <x:c r="B51" s="2" t="str">
        <x:v>Knowledge concentration</x:v>
      </x:c>
      <x:c r="C51" s="21" t="n">
        <x:f>IF(ISNUMBER(C25),MIN(1,MAX(0,C25/100/Policy!D23)),"")</x:f>
        <x:v>0.8749999999999999</x:v>
      </x:c>
      <x:c r="D51" s="21" t="n">
        <x:f>Policy!C23</x:f>
        <x:v>0.1</x:v>
      </x:c>
      <x:c r="E51" s="21" t="n">
        <x:f>IF(ISNUMBER(C51),C51*D51,0)</x:f>
        <x:v>0.0875</x:v>
      </x:c>
      <x:c r="F51" s="21" t="n">
        <x:f>IF(ISNUMBER(C51),D51,0)</x:f>
        <x:v>0.1</x:v>
      </x:c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 t="str">
        <x:v>Score = 1 + 9 × weighted normalized components / available weights.</x:v>
      </x:c>
      <x:c r="C54" s="2"/>
      <x:c r="D54" s="2"/>
      <x:c r="E54" s="2"/>
      <x:c r="F54" s="2"/>
      <x:c r="G54" s="2"/>
      <x:c r="H54" s="2"/>
    </x:row>
    <x:row r="55" ht="23" customHeight="1">
      <x:c r="A55" s="2"/>
      <x:c r="B55" s="2" t="str">
        <x:v>Risk bands: LOW &lt; 4; MEDIUM 4 to &lt; 7; HIGH ≥ 7. Blank inputs are excluded.</x:v>
      </x:c>
      <x:c r="C55" s="2"/>
      <x:c r="D55" s="2"/>
      <x:c r="E55" s="2"/>
      <x:c r="F55" s="2"/>
      <x:c r="G55" s="2"/>
      <x:c r="H55" s="2"/>
    </x:row>
    <x:row r="56" ht="23" customHeight="1">
      <x:c r="A56" s="2"/>
      <x:c r="B56" s="2" t="str">
        <x:v>Packages in cycles must not exceed total packages. Use a consistent source snapshot.</x:v>
      </x:c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</x:sheetData>
  <x:conditionalFormatting sqref="C19:C19">
    <x:cfRule type="expression" dxfId="0" priority="1">
      <x:formula>AND(ISNUMBER(C19),ISNUMBER(C16),C19&gt;C16)</x:formula>
    </x:cfRule>
  </x:conditionalFormatting>
  <x:conditionalFormatting sqref="C6:C6">
    <x:cfRule type="colorScale" priority="2">
      <x:colorScale>
        <x:cfvo type="num" val="1"/>
        <x:cfvo type="num" val="5.5"/>
        <x:cfvo type="num" val="10"/>
        <x:color rgb="FFDCFCE7"/>
        <x:color rgb="FFFEF3C7"/>
        <x:color rgb="FFFEE2E2"/>
      </x:colorScale>
    </x:cfRule>
  </x:conditionalFormatting>
  <x:conditionalFormatting sqref="F6:F6">
    <x:cfRule type="colorScale" priority="3">
      <x:colorScale>
        <x:cfvo type="num" val="1"/>
        <x:cfvo type="num" val="5.5"/>
        <x:cfvo type="num" val="10"/>
        <x:color rgb="FFDCFCE7"/>
        <x:color rgb="FFFEF3C7"/>
        <x:color rgb="FFFEE2E2"/>
      </x:colorScale>
    </x:cfRule>
  </x:conditionalFormatting>
  <x:conditionalFormatting sqref="H6:H6">
    <x:cfRule type="containsText" dxfId="1" priority="4" operator="containsText" text="HIGH"/>
  </x:conditionalFormatting>
  <x:dataValidations count="14">
    <x:dataValidation type="decimal" operator="between" sqref="C12">
      <x:formula1>0</x:formula1>
      <x:formula2>1000000000</x:formula2>
    </x:dataValidation>
    <x:dataValidation type="decimal" operator="between" sqref="C13">
      <x:formula1>0</x:formula1>
      <x:formula2>1000000000</x:formula2>
    </x:dataValidation>
    <x:dataValidation type="decimal" operator="between" sqref="C14">
      <x:formula1>0</x:formula1>
      <x:formula2>1000000000</x:formula2>
    </x:dataValidation>
    <x:dataValidation type="decimal" operator="between" sqref="C15">
      <x:formula1>0</x:formula1>
      <x:formula2>1000000000</x:formula2>
    </x:dataValidation>
    <x:dataValidation type="decimal" operator="between" sqref="C16">
      <x:formula1>0</x:formula1>
      <x:formula2>1000000000</x:formula2>
    </x:dataValidation>
    <x:dataValidation type="decimal" operator="between" sqref="C17">
      <x:formula1>0</x:formula1>
      <x:formula2>1000000000</x:formula2>
    </x:dataValidation>
    <x:dataValidation type="decimal" operator="between" sqref="C18">
      <x:formula1>0</x:formula1>
      <x:formula2>1000000000</x:formula2>
    </x:dataValidation>
    <x:dataValidation type="decimal" operator="between" sqref="C19">
      <x:formula1>0</x:formula1>
      <x:formula2>1000000000</x:formula2>
    </x:dataValidation>
    <x:dataValidation type="decimal" operator="between" sqref="C20">
      <x:formula1>0</x:formula1>
      <x:formula2>100</x:formula2>
    </x:dataValidation>
    <x:dataValidation type="decimal" operator="between" sqref="C21">
      <x:formula1>0</x:formula1>
      <x:formula2>1000000000</x:formula2>
    </x:dataValidation>
    <x:dataValidation type="decimal" operator="between" sqref="C22">
      <x:formula1>0</x:formula1>
      <x:formula2>1000000000</x:formula2>
    </x:dataValidation>
    <x:dataValidation type="decimal" operator="between" sqref="C23">
      <x:formula1>0</x:formula1>
      <x:formula2>1000000000</x:formula2>
    </x:dataValidation>
    <x:dataValidation type="decimal" operator="between" sqref="C24">
      <x:formula1>0</x:formula1>
      <x:formula2>1000000000</x:formula2>
    </x:dataValidation>
    <x:dataValidation type="decimal" operator="between" sqref="C25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6D82"/>
  </x:sheetPr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15" hidden="0" customWidth="1"/>
    <x:col min="4" max="4" width="18" hidden="0" customWidth="1"/>
    <x:col min="5" max="5" width="16" hidden="0" customWidth="1"/>
    <x:col min="6" max="6" width="17" hidden="0" customWidth="1"/>
    <x:col min="7" max="7" width="18" hidden="0" customWidth="1"/>
    <x:col min="8" max="8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Scoring policy</x:v>
      </x:c>
      <x:c r="C2" s="2"/>
      <x:c r="D2" s="2"/>
      <x:c r="E2" s="2"/>
      <x:c r="F2" s="2"/>
      <x:c r="G2" s="2"/>
      <x:c r="H2" s="2"/>
    </x:row>
    <x:row r="3" ht="23" customHeight="1">
      <x:c r="A3" s="2"/>
      <x:c r="B3" s="2" t="str">
        <x:v>Defaults match Repo Health CLI 1.1.1. Amber cells are editable.</x:v>
      </x:c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13" t="str">
        <x:v>Structural component</x:v>
      </x:c>
      <x:c r="C5" s="13" t="str">
        <x:v>Weight</x:v>
      </x:c>
      <x:c r="D5" s="13" t="str">
        <x:v>Threshold</x:v>
      </x:c>
      <x:c r="E5" s="13" t="str">
        <x:v>Unit</x:v>
      </x:c>
      <x:c r="F5" s="2"/>
      <x:c r="G5" s="2"/>
      <x:c r="H5" s="2"/>
    </x:row>
    <x:row r="6" ht="23" customHeight="1">
      <x:c r="A6" s="2"/>
      <x:c r="B6" s="2" t="str">
        <x:v>Code size</x:v>
      </x:c>
      <x:c r="C6" s="22" t="n">
        <x:v>0.2</x:v>
      </x:c>
      <x:c r="D6" s="17" t="n">
        <x:v>20000</x:v>
      </x:c>
      <x:c r="E6" s="2" t="str">
        <x:v>lines</x:v>
      </x:c>
      <x:c r="F6" s="2"/>
      <x:c r="G6" s="2"/>
      <x:c r="H6" s="2"/>
    </x:row>
    <x:row r="7" ht="23" customHeight="1">
      <x:c r="A7" s="2"/>
      <x:c r="B7" s="2" t="str">
        <x:v>Dependencies</x:v>
      </x:c>
      <x:c r="C7" s="22" t="n">
        <x:v>0.15</x:v>
      </x:c>
      <x:c r="D7" s="17" t="n">
        <x:v>80</x:v>
      </x:c>
      <x:c r="E7" s="2" t="str">
        <x:v>distinct declarations</x:v>
      </x:c>
      <x:c r="F7" s="2"/>
      <x:c r="G7" s="2"/>
      <x:c r="H7" s="2"/>
    </x:row>
    <x:row r="8" ht="23" customHeight="1">
      <x:c r="A8" s="2"/>
      <x:c r="B8" s="2" t="str">
        <x:v>Clients</x:v>
      </x:c>
      <x:c r="C8" s="22" t="n">
        <x:v>0.15</x:v>
      </x:c>
      <x:c r="D8" s="17" t="n">
        <x:v>15</x:v>
      </x:c>
      <x:c r="E8" s="2" t="str">
        <x:v>candidates</x:v>
      </x:c>
      <x:c r="F8" s="2"/>
      <x:c r="G8" s="2"/>
      <x:c r="H8" s="2"/>
    </x:row>
    <x:row r="9" ht="23" customHeight="1">
      <x:c r="A9" s="2"/>
      <x:c r="B9" s="2" t="str">
        <x:v>Endpoints</x:v>
      </x:c>
      <x:c r="C9" s="22" t="n">
        <x:v>0.1</x:v>
      </x:c>
      <x:c r="D9" s="17" t="n">
        <x:v>40</x:v>
      </x:c>
      <x:c r="E9" s="2" t="str">
        <x:v>methods</x:v>
      </x:c>
      <x:c r="F9" s="2"/>
      <x:c r="G9" s="2"/>
      <x:c r="H9" s="2"/>
    </x:row>
    <x:row r="10" ht="23" customHeight="1">
      <x:c r="A10" s="2"/>
      <x:c r="B10" s="2" t="str">
        <x:v>Packages</x:v>
      </x:c>
      <x:c r="C10" s="22" t="n">
        <x:v>0.1</x:v>
      </x:c>
      <x:c r="D10" s="17" t="n">
        <x:v>60</x:v>
      </x:c>
      <x:c r="E10" s="2" t="str">
        <x:v>count</x:v>
      </x:c>
      <x:c r="F10" s="2"/>
      <x:c r="G10" s="2"/>
      <x:c r="H10" s="2"/>
    </x:row>
    <x:row r="11" ht="23" customHeight="1">
      <x:c r="A11" s="2"/>
      <x:c r="B11" s="2" t="str">
        <x:v>Cyclomatic proxy</x:v>
      </x:c>
      <x:c r="C11" s="22" t="n">
        <x:v>0.15</x:v>
      </x:c>
      <x:c r="D11" s="17" t="n">
        <x:v>10</x:v>
      </x:c>
      <x:c r="E11" s="2" t="str">
        <x:v>per method</x:v>
      </x:c>
      <x:c r="F11" s="2"/>
      <x:c r="G11" s="2"/>
      <x:c r="H11" s="2"/>
    </x:row>
    <x:row r="12" ht="23" customHeight="1">
      <x:c r="A12" s="2"/>
      <x:c r="B12" s="2" t="str">
        <x:v>Cyclic package share</x:v>
      </x:c>
      <x:c r="C12" s="22" t="n">
        <x:v>0.1</x:v>
      </x:c>
      <x:c r="D12" s="22" t="n">
        <x:v>0.25</x:v>
      </x:c>
      <x:c r="E12" s="2" t="str">
        <x:v>fraction (0–1)</x:v>
      </x:c>
      <x:c r="F12" s="2"/>
      <x:c r="G12" s="2"/>
      <x:c r="H12" s="2"/>
    </x:row>
    <x:row r="13" ht="23" customHeight="1">
      <x:c r="A13" s="2"/>
      <x:c r="B13" s="2" t="str">
        <x:v>Edges per package</x:v>
      </x:c>
      <x:c r="C13" s="22" t="n">
        <x:v>0.05</x:v>
      </x:c>
      <x:c r="D13" s="17" t="n">
        <x:v>4</x:v>
      </x:c>
      <x:c r="E13" s="2" t="str">
        <x:v>edges/package</x:v>
      </x:c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23" customHeight="1">
      <x:c r="A16" s="2"/>
      <x:c r="B16" s="13" t="str">
        <x:v>Risk component</x:v>
      </x:c>
      <x:c r="C16" s="13" t="str">
        <x:v>Weight</x:v>
      </x:c>
      <x:c r="D16" s="13" t="str">
        <x:v>Target / threshold</x:v>
      </x:c>
      <x:c r="E16" s="13" t="str">
        <x:v>Unit</x:v>
      </x:c>
      <x:c r="F16" s="2"/>
      <x:c r="G16" s="2"/>
      <x:c r="H16" s="2"/>
    </x:row>
    <x:row r="17" ht="23" customHeight="1">
      <x:c r="A17" s="2"/>
      <x:c r="B17" s="2" t="str">
        <x:v>Structure</x:v>
      </x:c>
      <x:c r="C17" s="22" t="n">
        <x:v>0.2</x:v>
      </x:c>
      <x:c r="D17" s="2"/>
      <x:c r="E17" s="2" t="str">
        <x:v>derived from structure</x:v>
      </x:c>
      <x:c r="F17" s="2"/>
      <x:c r="G17" s="2"/>
      <x:c r="H17" s="2"/>
    </x:row>
    <x:row r="18" ht="23" customHeight="1">
      <x:c r="A18" s="2"/>
      <x:c r="B18" s="2" t="str">
        <x:v>Coverage shortfall</x:v>
      </x:c>
      <x:c r="C18" s="22" t="n">
        <x:v>0.25</x:v>
      </x:c>
      <x:c r="D18" s="22" t="n">
        <x:v>0.8</x:v>
      </x:c>
      <x:c r="E18" s="2" t="str">
        <x:v>fraction (0–1)</x:v>
      </x:c>
      <x:c r="F18" s="2"/>
      <x:c r="G18" s="2"/>
      <x:c r="H18" s="2"/>
    </x:row>
    <x:row r="19" ht="23" customHeight="1">
      <x:c r="A19" s="2"/>
      <x:c r="B19" s="2" t="str">
        <x:v>Boot test density</x:v>
      </x:c>
      <x:c r="C19" s="22" t="n">
        <x:v>0.1</x:v>
      </x:c>
      <x:c r="D19" s="18" t="n">
        <x:v>1</x:v>
      </x:c>
      <x:c r="E19" s="2" t="str">
        <x:v>classes per KLOC</x:v>
      </x:c>
      <x:c r="F19" s="2"/>
      <x:c r="G19" s="2"/>
      <x:c r="H19" s="2"/>
    </x:row>
    <x:row r="20" ht="23" customHeight="1">
      <x:c r="A20" s="2"/>
      <x:c r="B20" s="2" t="str">
        <x:v>JVM policy</x:v>
      </x:c>
      <x:c r="C20" s="22" t="n">
        <x:v>0.1</x:v>
      </x:c>
      <x:c r="D20" s="18" t="n">
        <x:v>17</x:v>
      </x:c>
      <x:c r="E20" s="2" t="str">
        <x:v>minimum major</x:v>
      </x:c>
      <x:c r="F20" s="2"/>
      <x:c r="G20" s="2"/>
      <x:c r="H20" s="2"/>
    </x:row>
    <x:row r="21" ht="23" customHeight="1">
      <x:c r="A21" s="2"/>
      <x:c r="B21" s="2" t="str">
        <x:v>Spring Boot policy</x:v>
      </x:c>
      <x:c r="C21" s="22" t="n">
        <x:v>0.1</x:v>
      </x:c>
      <x:c r="D21" s="18" t="n">
        <x:v>3</x:v>
      </x:c>
      <x:c r="E21" s="2" t="str">
        <x:v>minimum major</x:v>
      </x:c>
      <x:c r="F21" s="2"/>
      <x:c r="G21" s="2"/>
      <x:c r="H21" s="2"/>
    </x:row>
    <x:row r="22" ht="23" customHeight="1">
      <x:c r="A22" s="2"/>
      <x:c r="B22" s="2" t="str">
        <x:v>Code churn</x:v>
      </x:c>
      <x:c r="C22" s="22" t="n">
        <x:v>0.15</x:v>
      </x:c>
      <x:c r="D22" s="18" t="n">
        <x:v>1</x:v>
      </x:c>
      <x:c r="E22" s="2" t="str">
        <x:v>changed lines / LOC</x:v>
      </x:c>
      <x:c r="F22" s="2"/>
      <x:c r="G22" s="2"/>
      <x:c r="H22" s="2"/>
    </x:row>
    <x:row r="23" ht="23" customHeight="1">
      <x:c r="A23" s="2"/>
      <x:c r="B23" s="2" t="str">
        <x:v>Knowledge concentration</x:v>
      </x:c>
      <x:c r="C23" s="22" t="n">
        <x:v>0.1</x:v>
      </x:c>
      <x:c r="D23" s="22" t="n">
        <x:v>0.8</x:v>
      </x:c>
      <x:c r="E23" s="2" t="str">
        <x:v>fraction (0–1)</x:v>
      </x:c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 t="str">
        <x:v>Weights are normalized. Set a weight to zero to disable a component.</x:v>
      </x:c>
      <x:c r="C26" s="2"/>
      <x:c r="D26" s="2"/>
      <x:c r="E26" s="2"/>
      <x:c r="F26" s="2"/>
      <x:c r="G26" s="2"/>
      <x:c r="H26" s="2"/>
    </x:row>
    <x:row r="27" ht="23" customHeight="1">
      <x:c r="A27" s="2"/>
      <x:c r="B27" s="2" t="str">
        <x:v>At least one available component must have a positive weight.</x:v>
      </x:c>
      <x:c r="C27" s="2"/>
      <x:c r="D27" s="2"/>
      <x:c r="E27" s="2"/>
      <x:c r="F27" s="2"/>
      <x:c r="G27" s="2"/>
      <x:c r="H27" s="2"/>
    </x:row>
    <x:row r="28" ht="23" customHeight="1">
      <x:c r="A28" s="2"/>
      <x:c r="B28" s="2" t="str">
        <x:v>Source: Repo Health CLI 1.1.1 policy.properties and scoring implementation.</x:v>
      </x:c>
      <x:c r="C28" s="2"/>
      <x:c r="D28" s="2"/>
      <x:c r="E28" s="2"/>
      <x:c r="F28" s="2"/>
      <x:c r="G28" s="2"/>
      <x:c r="H28" s="2"/>
    </x:row>
    <x:row r="29" ht="23" customHeight="1">
      <x:c r="A29" s="2"/>
      <x:c r="B29" s="2" t="str">
        <x:v>Calculator measurements are synthetic examples, not your application data.</x:v>
      </x:c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</x:sheetData>
  <x:dataValidations count="8">
    <x:dataValidation type="decimal" operator="between" sqref="C6:C13">
      <x:formula1>0</x:formula1>
      <x:formula2>100</x:formula2>
    </x:dataValidation>
    <x:dataValidation type="decimal" operator="between" sqref="C17:C23">
      <x:formula1>0</x:formula1>
      <x:formula2>100</x:formula2>
    </x:dataValidation>
    <x:dataValidation type="decimal" operator="between" sqref="D6:D11">
      <x:formula1>0.000001</x:formula1>
      <x:formula2>1000000000</x:formula2>
    </x:dataValidation>
    <x:dataValidation type="decimal" operator="between" sqref="D13">
      <x:formula1>0.000001</x:formula1>
      <x:formula2>1000000000</x:formula2>
    </x:dataValidation>
    <x:dataValidation type="decimal" operator="between" sqref="D19:D22">
      <x:formula1>0.000001</x:formula1>
      <x:formula2>1000000000</x:formula2>
    </x:dataValidation>
    <x:dataValidation type="decimal" operator="between" sqref="D12">
      <x:formula1>0.000001</x:formula1>
      <x:formula2>1</x:formula2>
    </x:dataValidation>
    <x:dataValidation type="decimal" operator="between" sqref="D18">
      <x:formula1>0.000001</x:formula1>
      <x:formula2>1</x:formula2>
    </x:dataValidation>
    <x:dataValidation type="decimal" operator="between" sqref="D23">
      <x:formula1>0.000001</x:formula1>
      <x:formula2>1</x:formula2>
    </x:dataValidation>
  </x:dataValidations>
  <x:pageMargins left="0.7" right="0.7" top="0.75" bottom="0.75" header="0.3" footer="0.3"/>
</x:worksheet>
</file>